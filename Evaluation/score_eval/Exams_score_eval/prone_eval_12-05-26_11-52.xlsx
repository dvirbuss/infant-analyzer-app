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odel_pred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Confusion Matrix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666"/>
              </a:solidFill>
              <a:ln>
                <a:prstDash val="solid"/>
              </a:ln>
            </spPr>
          </dPt>
          <dPt>
            <idx val="3"/>
            <spPr>
              <a:solidFill>
                <a:srgbClr val="92D050"/>
              </a:solidFill>
              <a:ln>
                <a:prstDash val="solid"/>
              </a:ln>
            </spPr>
          </dPt>
          <cat>
            <strLit>
              <ptCount val="4"/>
              <pt idx="0">
                <v>TP</v>
              </pt>
              <pt idx="1">
                <v>FN</v>
              </pt>
              <pt idx="2">
                <v>FP</v>
              </pt>
              <pt idx="3">
                <v>TN</v>
              </pt>
            </strLit>
          </cat>
          <val>
            <numRef>
              <f>(analytics!$B$5,analytics!$B$6,analytics!$C$5,analytics!$C$6)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8" customWidth="1" min="4" max="4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</row>
    <row r="2">
      <c r="A2" s="3">
        <f>IFERROR(TRUNC((B5+C6)/(B5+C5+B6+C6), 2), 0)</f>
        <v/>
      </c>
      <c r="B2" s="3">
        <f>IFERROR(TRUNC(B5/(B5+C5), 2), 0)</f>
        <v/>
      </c>
      <c r="C2" s="3">
        <f>IFERROR(TRUNC(B5/(B5+B6), 2), 0)</f>
        <v/>
      </c>
      <c r="D2" s="3">
        <f>IFERROR(TRUNC((2*B5)/(2*B5+C5+B6), 2), 0)</f>
        <v/>
      </c>
    </row>
    <row r="3"/>
    <row r="4">
      <c r="A4" s="4" t="n"/>
      <c r="B4" s="2" t="inlineStr">
        <is>
          <t>Real-T</t>
        </is>
      </c>
      <c r="C4" s="2" t="inlineStr">
        <is>
          <t>Real-F</t>
        </is>
      </c>
    </row>
    <row r="5">
      <c r="A5" s="2" t="inlineStr">
        <is>
          <t>predicted-T</t>
        </is>
      </c>
      <c r="B5" s="5">
        <f>SUMPRODUCT((GT!B2:V3=1)*(model_pred!B2:V3=1))</f>
        <v/>
      </c>
      <c r="C5" s="6">
        <f>SUMPRODUCT((GT!B2:V3=0)*(GT!B2:V3&lt;&gt;"")*(model_pred!B2:V3=1))</f>
        <v/>
      </c>
    </row>
    <row r="6">
      <c r="A6" s="2" t="inlineStr">
        <is>
          <t>predicted-F</t>
        </is>
      </c>
      <c r="B6" s="6">
        <f>SUMPRODUCT((GT!B2:V3=1)*(model_pred!B2:V3=0)*(model_pred!B2:V3&lt;&gt;""))</f>
        <v/>
      </c>
      <c r="C6" s="5">
        <f>SUMPRODUCT((GT!B2:V3=0)*(GT!B2:V3&lt;&gt;"")*(model_pred!B2:V3=0)*(model_pred!B2:V3&lt;&gt;""))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2026-05-12T08:52:16Z</dcterms:created>
  <dcterms:modified xsi:type="dcterms:W3CDTF">2026-05-12T08:52:16Z</dcterms:modified>
</cp:coreProperties>
</file>